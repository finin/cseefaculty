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709"/>
  <workbookPr showInkAnnotation="0" autoCompressPictures="0"/>
  <bookViews>
    <workbookView xWindow="-33180" yWindow="-15900" windowWidth="28800" windowHeight="17480" tabRatio="500"/>
  </bookViews>
  <sheets>
    <sheet name="enrol.txt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65" i="1" l="1"/>
  <c r="H65" i="1"/>
  <c r="G65" i="1"/>
  <c r="F65" i="1"/>
  <c r="E65" i="1"/>
  <c r="D65" i="1"/>
  <c r="C65" i="1"/>
  <c r="B65" i="1"/>
  <c r="I44" i="1"/>
  <c r="H44" i="1"/>
  <c r="G44" i="1"/>
  <c r="F44" i="1"/>
  <c r="E44" i="1"/>
  <c r="D44" i="1"/>
  <c r="C44" i="1"/>
  <c r="B44" i="1"/>
  <c r="B23" i="1"/>
  <c r="I43" i="1"/>
  <c r="H43" i="1"/>
  <c r="G43" i="1"/>
  <c r="F43" i="1"/>
  <c r="E43" i="1"/>
  <c r="D43" i="1"/>
  <c r="C43" i="1"/>
  <c r="B43" i="1"/>
  <c r="I42" i="1"/>
  <c r="H42" i="1"/>
  <c r="G42" i="1"/>
  <c r="F42" i="1"/>
  <c r="E42" i="1"/>
  <c r="D42" i="1"/>
  <c r="C42" i="1"/>
  <c r="B42" i="1"/>
  <c r="B41" i="1"/>
  <c r="I41" i="1"/>
  <c r="H41" i="1"/>
  <c r="G41" i="1"/>
  <c r="F41" i="1"/>
  <c r="E41" i="1"/>
  <c r="D41" i="1"/>
  <c r="C41" i="1"/>
  <c r="I56" i="1"/>
  <c r="H56" i="1"/>
  <c r="I53" i="1"/>
  <c r="H53" i="1"/>
  <c r="I50" i="1"/>
  <c r="H50" i="1"/>
  <c r="H49" i="1"/>
  <c r="I49" i="1"/>
  <c r="I48" i="1"/>
  <c r="H48" i="1"/>
  <c r="P36" i="1"/>
  <c r="G53" i="1"/>
  <c r="G56" i="1"/>
  <c r="R36" i="1"/>
  <c r="B48" i="1"/>
  <c r="C48" i="1"/>
  <c r="D48" i="1"/>
  <c r="E48" i="1"/>
  <c r="F48" i="1"/>
  <c r="G48" i="1"/>
  <c r="B49" i="1"/>
  <c r="C49" i="1"/>
  <c r="D49" i="1"/>
  <c r="E49" i="1"/>
  <c r="F49" i="1"/>
  <c r="G49" i="1"/>
  <c r="B50" i="1"/>
  <c r="C50" i="1"/>
  <c r="D50" i="1"/>
  <c r="E50" i="1"/>
  <c r="F50" i="1"/>
  <c r="G50" i="1"/>
  <c r="B53" i="1"/>
  <c r="C53" i="1"/>
  <c r="D53" i="1"/>
  <c r="E53" i="1"/>
  <c r="F53" i="1"/>
  <c r="B56" i="1"/>
  <c r="C56" i="1"/>
  <c r="D56" i="1"/>
  <c r="E56" i="1"/>
  <c r="F56" i="1"/>
</calcChain>
</file>

<file path=xl/sharedStrings.xml><?xml version="1.0" encoding="utf-8"?>
<sst xmlns="http://schemas.openxmlformats.org/spreadsheetml/2006/main" count="52" uniqueCount="34">
  <si>
    <t>program</t>
  </si>
  <si>
    <t>BS or BA programs</t>
  </si>
  <si>
    <t>CMSC</t>
  </si>
  <si>
    <t>CMPE</t>
  </si>
  <si>
    <t>IFSM</t>
  </si>
  <si>
    <t>BTA</t>
  </si>
  <si>
    <t>BINF</t>
  </si>
  <si>
    <t>Phd programs</t>
  </si>
  <si>
    <t>EENG</t>
  </si>
  <si>
    <t>HCC</t>
  </si>
  <si>
    <t>MS programs</t>
  </si>
  <si>
    <t>SYST</t>
  </si>
  <si>
    <t>ENGM</t>
  </si>
  <si>
    <t>CYBR</t>
  </si>
  <si>
    <t>IFSU</t>
  </si>
  <si>
    <t>Students not yet in a certificate or degree program</t>
  </si>
  <si>
    <t>Certificate programs</t>
  </si>
  <si>
    <t>EMAN</t>
  </si>
  <si>
    <t>Breakdown by department</t>
  </si>
  <si>
    <t>CSEE</t>
  </si>
  <si>
    <t>IS</t>
  </si>
  <si>
    <t>BIO</t>
  </si>
  <si>
    <t>Liberal IT total includes all of the above</t>
  </si>
  <si>
    <t>IT total</t>
  </si>
  <si>
    <t>Conservative totals (- SYST, ENGN, CENG, non-degree)</t>
  </si>
  <si>
    <t>Breakdown by program</t>
  </si>
  <si>
    <t>EENE</t>
  </si>
  <si>
    <t>Faculty TT lines</t>
  </si>
  <si>
    <t>Students/TT faculty</t>
  </si>
  <si>
    <t>EE</t>
  </si>
  <si>
    <t>CMSC BS</t>
  </si>
  <si>
    <t>CMSC PhD</t>
  </si>
  <si>
    <t>CMSC MS</t>
  </si>
  <si>
    <t>CMSC 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</si>
</sst>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Verdana"/>
    </font>
    <font>
      <b/>
      <sz val="10"/>
      <name val="Verdana"/>
    </font>
    <font>
      <sz val="10"/>
      <name val="Verdana"/>
    </font>
    <font>
      <b/>
      <sz val="12"/>
      <name val="Verdana"/>
    </font>
    <font>
      <sz val="12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" fontId="1" fillId="0" borderId="0" xfId="0" applyNumberFormat="1" applyFont="1" applyAlignment="1">
      <alignment horizontal="center"/>
    </xf>
    <xf numFmtId="0" fontId="2" fillId="0" borderId="0" xfId="0" applyFont="1"/>
    <xf numFmtId="1" fontId="2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/>
            </a:pPr>
            <a:r>
              <a:rPr lang="en-US" sz="1600" b="1"/>
              <a:t>CSEE,</a:t>
            </a:r>
            <a:r>
              <a:rPr lang="en-US" sz="1600" b="1" baseline="0"/>
              <a:t> IS, BINF students</a:t>
            </a:r>
            <a:endParaRPr lang="en-US" sz="1600" b="1"/>
          </a:p>
        </c:rich>
      </c:tx>
      <c:layout>
        <c:manualLayout>
          <c:xMode val="edge"/>
          <c:yMode val="edge"/>
          <c:x val="0.172208880139982"/>
          <c:y val="0.0633484162895927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02777777777778"/>
          <c:y val="0.0633484162895927"/>
          <c:w val="0.783333333333333"/>
          <c:h val="0.837104072398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enrol.txt!$A$48</c:f>
              <c:strCache>
                <c:ptCount val="1"/>
                <c:pt idx="0">
                  <c:v>CSEE</c:v>
                </c:pt>
              </c:strCache>
            </c:strRef>
          </c:tx>
          <c:spPr>
            <a:solidFill>
              <a:srgbClr val="3366FF"/>
            </a:solidFill>
            <a:ln w="25400">
              <a:noFill/>
            </a:ln>
          </c:spPr>
          <c:invertIfNegative val="0"/>
          <c:cat>
            <c:numRef>
              <c:f>enrol.txt!$B$1:$I$1</c:f>
              <c:numCache>
                <c:formatCode>0</c:formatCode>
                <c:ptCount val="8"/>
                <c:pt idx="0">
                  <c:v>2006.0</c:v>
                </c:pt>
                <c:pt idx="1">
                  <c:v>2007.0</c:v>
                </c:pt>
                <c:pt idx="2">
                  <c:v>2008.0</c:v>
                </c:pt>
                <c:pt idx="3">
                  <c:v>2009.0</c:v>
                </c:pt>
                <c:pt idx="4">
                  <c:v>2010.0</c:v>
                </c:pt>
                <c:pt idx="5">
                  <c:v>2011.0</c:v>
                </c:pt>
                <c:pt idx="6" formatCode="General">
                  <c:v>2012.0</c:v>
                </c:pt>
                <c:pt idx="7" formatCode="General">
                  <c:v>2013.0</c:v>
                </c:pt>
              </c:numCache>
            </c:numRef>
          </c:cat>
          <c:val>
            <c:numRef>
              <c:f>enrol.txt!$B$48:$I$48</c:f>
              <c:numCache>
                <c:formatCode>0</c:formatCode>
                <c:ptCount val="8"/>
                <c:pt idx="0">
                  <c:v>1164.0</c:v>
                </c:pt>
                <c:pt idx="1">
                  <c:v>1082.0</c:v>
                </c:pt>
                <c:pt idx="2">
                  <c:v>1121.0</c:v>
                </c:pt>
                <c:pt idx="3">
                  <c:v>1201.0</c:v>
                </c:pt>
                <c:pt idx="4">
                  <c:v>1287.0</c:v>
                </c:pt>
                <c:pt idx="5">
                  <c:v>1385.0</c:v>
                </c:pt>
                <c:pt idx="6">
                  <c:v>1639.0</c:v>
                </c:pt>
                <c:pt idx="7">
                  <c:v>1805.0</c:v>
                </c:pt>
              </c:numCache>
            </c:numRef>
          </c:val>
        </c:ser>
        <c:ser>
          <c:idx val="1"/>
          <c:order val="1"/>
          <c:tx>
            <c:strRef>
              <c:f>enrol.txt!$A$49</c:f>
              <c:strCache>
                <c:ptCount val="1"/>
                <c:pt idx="0">
                  <c:v>IS</c:v>
                </c:pt>
              </c:strCache>
            </c:strRef>
          </c:tx>
          <c:spPr>
            <a:solidFill>
              <a:srgbClr val="DD2D32"/>
            </a:solidFill>
            <a:ln w="25400">
              <a:noFill/>
            </a:ln>
          </c:spPr>
          <c:invertIfNegative val="0"/>
          <c:cat>
            <c:numRef>
              <c:f>enrol.txt!$B$1:$I$1</c:f>
              <c:numCache>
                <c:formatCode>0</c:formatCode>
                <c:ptCount val="8"/>
                <c:pt idx="0">
                  <c:v>2006.0</c:v>
                </c:pt>
                <c:pt idx="1">
                  <c:v>2007.0</c:v>
                </c:pt>
                <c:pt idx="2">
                  <c:v>2008.0</c:v>
                </c:pt>
                <c:pt idx="3">
                  <c:v>2009.0</c:v>
                </c:pt>
                <c:pt idx="4">
                  <c:v>2010.0</c:v>
                </c:pt>
                <c:pt idx="5">
                  <c:v>2011.0</c:v>
                </c:pt>
                <c:pt idx="6" formatCode="General">
                  <c:v>2012.0</c:v>
                </c:pt>
                <c:pt idx="7" formatCode="General">
                  <c:v>2013.0</c:v>
                </c:pt>
              </c:numCache>
            </c:numRef>
          </c:cat>
          <c:val>
            <c:numRef>
              <c:f>enrol.txt!$B$49:$I$49</c:f>
              <c:numCache>
                <c:formatCode>0</c:formatCode>
                <c:ptCount val="8"/>
                <c:pt idx="0">
                  <c:v>1054.0</c:v>
                </c:pt>
                <c:pt idx="1">
                  <c:v>1065.0</c:v>
                </c:pt>
                <c:pt idx="2">
                  <c:v>1090.0</c:v>
                </c:pt>
                <c:pt idx="3">
                  <c:v>1211.0</c:v>
                </c:pt>
                <c:pt idx="4">
                  <c:v>1182.0</c:v>
                </c:pt>
                <c:pt idx="5">
                  <c:v>1158.0</c:v>
                </c:pt>
                <c:pt idx="6">
                  <c:v>1280.0</c:v>
                </c:pt>
                <c:pt idx="7">
                  <c:v>1312.0</c:v>
                </c:pt>
              </c:numCache>
            </c:numRef>
          </c:val>
        </c:ser>
        <c:ser>
          <c:idx val="2"/>
          <c:order val="2"/>
          <c:tx>
            <c:strRef>
              <c:f>enrol.txt!$A$50</c:f>
              <c:strCache>
                <c:ptCount val="1"/>
                <c:pt idx="0">
                  <c:v>BIO</c:v>
                </c:pt>
              </c:strCache>
            </c:strRef>
          </c:tx>
          <c:spPr>
            <a:solidFill>
              <a:srgbClr val="99CC00"/>
            </a:solidFill>
            <a:ln w="25400">
              <a:noFill/>
            </a:ln>
          </c:spPr>
          <c:invertIfNegative val="0"/>
          <c:cat>
            <c:numRef>
              <c:f>enrol.txt!$B$1:$I$1</c:f>
              <c:numCache>
                <c:formatCode>0</c:formatCode>
                <c:ptCount val="8"/>
                <c:pt idx="0">
                  <c:v>2006.0</c:v>
                </c:pt>
                <c:pt idx="1">
                  <c:v>2007.0</c:v>
                </c:pt>
                <c:pt idx="2">
                  <c:v>2008.0</c:v>
                </c:pt>
                <c:pt idx="3">
                  <c:v>2009.0</c:v>
                </c:pt>
                <c:pt idx="4">
                  <c:v>2010.0</c:v>
                </c:pt>
                <c:pt idx="5">
                  <c:v>2011.0</c:v>
                </c:pt>
                <c:pt idx="6" formatCode="General">
                  <c:v>2012.0</c:v>
                </c:pt>
                <c:pt idx="7" formatCode="General">
                  <c:v>2013.0</c:v>
                </c:pt>
              </c:numCache>
            </c:numRef>
          </c:cat>
          <c:val>
            <c:numRef>
              <c:f>enrol.txt!$B$50:$I$50</c:f>
              <c:numCache>
                <c:formatCode>0</c:formatCode>
                <c:ptCount val="8"/>
                <c:pt idx="0">
                  <c:v>61.0</c:v>
                </c:pt>
                <c:pt idx="1">
                  <c:v>48.0</c:v>
                </c:pt>
                <c:pt idx="2">
                  <c:v>42.0</c:v>
                </c:pt>
                <c:pt idx="3">
                  <c:v>21.0</c:v>
                </c:pt>
                <c:pt idx="4">
                  <c:v>29.0</c:v>
                </c:pt>
                <c:pt idx="5">
                  <c:v>23.0</c:v>
                </c:pt>
                <c:pt idx="6">
                  <c:v>29.0</c:v>
                </c:pt>
                <c:pt idx="7">
                  <c:v>40.0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37189400"/>
        <c:axId val="2079046632"/>
      </c:barChart>
      <c:catAx>
        <c:axId val="-2137189400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7904663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2079046632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137189400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880555555555555"/>
          <c:y val="0.438914027149321"/>
          <c:w val="0.1"/>
          <c:h val="0.18552036199095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17272160286895"/>
          <c:y val="0.191335740072202"/>
        </c:manualLayout>
      </c:layout>
      <c:overlay val="1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064066852368"/>
          <c:y val="0.183662980755564"/>
          <c:w val="0.81058495821727"/>
          <c:h val="0.74053526251456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enrol.txt!$A$53</c:f>
              <c:strCache>
                <c:ptCount val="1"/>
                <c:pt idx="0">
                  <c:v>IT total</c:v>
                </c:pt>
              </c:strCache>
            </c:strRef>
          </c:tx>
          <c:spPr>
            <a:solidFill>
              <a:srgbClr val="3366FF"/>
            </a:solidFill>
            <a:ln w="25400">
              <a:noFill/>
            </a:ln>
          </c:spPr>
          <c:invertIfNegative val="0"/>
          <c:cat>
            <c:numRef>
              <c:f>enrol.txt!$B$1:$I$1</c:f>
              <c:numCache>
                <c:formatCode>0</c:formatCode>
                <c:ptCount val="8"/>
                <c:pt idx="0">
                  <c:v>2006.0</c:v>
                </c:pt>
                <c:pt idx="1">
                  <c:v>2007.0</c:v>
                </c:pt>
                <c:pt idx="2">
                  <c:v>2008.0</c:v>
                </c:pt>
                <c:pt idx="3">
                  <c:v>2009.0</c:v>
                </c:pt>
                <c:pt idx="4">
                  <c:v>2010.0</c:v>
                </c:pt>
                <c:pt idx="5">
                  <c:v>2011.0</c:v>
                </c:pt>
                <c:pt idx="6" formatCode="General">
                  <c:v>2012.0</c:v>
                </c:pt>
                <c:pt idx="7" formatCode="General">
                  <c:v>2013.0</c:v>
                </c:pt>
              </c:numCache>
            </c:numRef>
          </c:cat>
          <c:val>
            <c:numRef>
              <c:f>enrol.txt!$B$53:$I$53</c:f>
              <c:numCache>
                <c:formatCode>0</c:formatCode>
                <c:ptCount val="8"/>
                <c:pt idx="0">
                  <c:v>2279.0</c:v>
                </c:pt>
                <c:pt idx="1">
                  <c:v>2195.0</c:v>
                </c:pt>
                <c:pt idx="2">
                  <c:v>2253.0</c:v>
                </c:pt>
                <c:pt idx="3">
                  <c:v>2433.0</c:v>
                </c:pt>
                <c:pt idx="4">
                  <c:v>2498.0</c:v>
                </c:pt>
                <c:pt idx="5">
                  <c:v>2566.0</c:v>
                </c:pt>
                <c:pt idx="6">
                  <c:v>2948.0</c:v>
                </c:pt>
                <c:pt idx="7">
                  <c:v>3157.0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2138018584"/>
        <c:axId val="-2138014472"/>
      </c:barChart>
      <c:catAx>
        <c:axId val="-213801858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13801447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-2138014472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138018584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860724233983287"/>
          <c:y val="0.658892128279883"/>
          <c:w val="0.122562674094708"/>
          <c:h val="0.0583090379008746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1.0" l="0.75" r="0.75" t="1.0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Students in CSEE</a:t>
            </a:r>
            <a:r>
              <a:rPr lang="en-US" baseline="0"/>
              <a:t> programs</a:t>
            </a:r>
            <a:endParaRPr lang="en-US"/>
          </a:p>
        </c:rich>
      </c:tx>
      <c:layout>
        <c:manualLayout>
          <c:xMode val="edge"/>
          <c:yMode val="edge"/>
          <c:x val="0.142357958931604"/>
          <c:y val="0.217592592592593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enrol.txt!$A$41</c:f>
              <c:strCache>
                <c:ptCount val="1"/>
                <c:pt idx="0">
                  <c:v>CMSC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enrol.txt!$B$1:$I$1</c:f>
              <c:numCache>
                <c:formatCode>0</c:formatCode>
                <c:ptCount val="8"/>
                <c:pt idx="0">
                  <c:v>2006.0</c:v>
                </c:pt>
                <c:pt idx="1">
                  <c:v>2007.0</c:v>
                </c:pt>
                <c:pt idx="2">
                  <c:v>2008.0</c:v>
                </c:pt>
                <c:pt idx="3">
                  <c:v>2009.0</c:v>
                </c:pt>
                <c:pt idx="4">
                  <c:v>2010.0</c:v>
                </c:pt>
                <c:pt idx="5">
                  <c:v>2011.0</c:v>
                </c:pt>
                <c:pt idx="6" formatCode="General">
                  <c:v>2012.0</c:v>
                </c:pt>
                <c:pt idx="7" formatCode="General">
                  <c:v>2013.0</c:v>
                </c:pt>
              </c:numCache>
            </c:numRef>
          </c:cat>
          <c:val>
            <c:numRef>
              <c:f>enrol.txt!$B$41:$I$41</c:f>
              <c:numCache>
                <c:formatCode>0</c:formatCode>
                <c:ptCount val="8"/>
                <c:pt idx="0">
                  <c:v>743.0</c:v>
                </c:pt>
                <c:pt idx="1">
                  <c:v>681.0</c:v>
                </c:pt>
                <c:pt idx="2">
                  <c:v>694.0</c:v>
                </c:pt>
                <c:pt idx="3">
                  <c:v>792.0</c:v>
                </c:pt>
                <c:pt idx="4">
                  <c:v>848.0</c:v>
                </c:pt>
                <c:pt idx="5">
                  <c:v>873.0</c:v>
                </c:pt>
                <c:pt idx="6">
                  <c:v>990.0</c:v>
                </c:pt>
                <c:pt idx="7">
                  <c:v>1063.0</c:v>
                </c:pt>
              </c:numCache>
            </c:numRef>
          </c:val>
        </c:ser>
        <c:ser>
          <c:idx val="1"/>
          <c:order val="1"/>
          <c:tx>
            <c:strRef>
              <c:f>enrol.txt!$A$42</c:f>
              <c:strCache>
                <c:ptCount val="1"/>
                <c:pt idx="0">
                  <c:v>CMPE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0.0062015503875969"/>
                  <c:y val="0.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layout>
                <c:manualLayout>
                  <c:x val="0.0108527131782947"/>
                  <c:y val="0.0092592592592592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enrol.txt!$B$1:$I$1</c:f>
              <c:numCache>
                <c:formatCode>0</c:formatCode>
                <c:ptCount val="8"/>
                <c:pt idx="0">
                  <c:v>2006.0</c:v>
                </c:pt>
                <c:pt idx="1">
                  <c:v>2007.0</c:v>
                </c:pt>
                <c:pt idx="2">
                  <c:v>2008.0</c:v>
                </c:pt>
                <c:pt idx="3">
                  <c:v>2009.0</c:v>
                </c:pt>
                <c:pt idx="4">
                  <c:v>2010.0</c:v>
                </c:pt>
                <c:pt idx="5">
                  <c:v>2011.0</c:v>
                </c:pt>
                <c:pt idx="6" formatCode="General">
                  <c:v>2012.0</c:v>
                </c:pt>
                <c:pt idx="7" formatCode="General">
                  <c:v>2013.0</c:v>
                </c:pt>
              </c:numCache>
            </c:numRef>
          </c:cat>
          <c:val>
            <c:numRef>
              <c:f>enrol.txt!$B$42:$I$42</c:f>
              <c:numCache>
                <c:formatCode>0</c:formatCode>
                <c:ptCount val="8"/>
                <c:pt idx="0">
                  <c:v>282.0</c:v>
                </c:pt>
                <c:pt idx="1">
                  <c:v>248.0</c:v>
                </c:pt>
                <c:pt idx="2">
                  <c:v>264.0</c:v>
                </c:pt>
                <c:pt idx="3">
                  <c:v>218.0</c:v>
                </c:pt>
                <c:pt idx="4">
                  <c:v>264.0</c:v>
                </c:pt>
                <c:pt idx="5">
                  <c:v>249.0</c:v>
                </c:pt>
                <c:pt idx="6">
                  <c:v>319.0</c:v>
                </c:pt>
                <c:pt idx="7">
                  <c:v>363.0</c:v>
                </c:pt>
              </c:numCache>
            </c:numRef>
          </c:val>
        </c:ser>
        <c:ser>
          <c:idx val="2"/>
          <c:order val="2"/>
          <c:tx>
            <c:strRef>
              <c:f>enrol.txt!$A$43</c:f>
              <c:strCache>
                <c:ptCount val="1"/>
                <c:pt idx="0">
                  <c:v>EENE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enrol.txt!$B$1:$I$1</c:f>
              <c:numCache>
                <c:formatCode>0</c:formatCode>
                <c:ptCount val="8"/>
                <c:pt idx="0">
                  <c:v>2006.0</c:v>
                </c:pt>
                <c:pt idx="1">
                  <c:v>2007.0</c:v>
                </c:pt>
                <c:pt idx="2">
                  <c:v>2008.0</c:v>
                </c:pt>
                <c:pt idx="3">
                  <c:v>2009.0</c:v>
                </c:pt>
                <c:pt idx="4">
                  <c:v>2010.0</c:v>
                </c:pt>
                <c:pt idx="5">
                  <c:v>2011.0</c:v>
                </c:pt>
                <c:pt idx="6" formatCode="General">
                  <c:v>2012.0</c:v>
                </c:pt>
                <c:pt idx="7" formatCode="General">
                  <c:v>2013.0</c:v>
                </c:pt>
              </c:numCache>
            </c:numRef>
          </c:cat>
          <c:val>
            <c:numRef>
              <c:f>enrol.txt!$B$43:$I$43</c:f>
              <c:numCache>
                <c:formatCode>0</c:formatCode>
                <c:ptCount val="8"/>
                <c:pt idx="0">
                  <c:v>79.0</c:v>
                </c:pt>
                <c:pt idx="1">
                  <c:v>79.0</c:v>
                </c:pt>
                <c:pt idx="2">
                  <c:v>58.0</c:v>
                </c:pt>
                <c:pt idx="3">
                  <c:v>56.0</c:v>
                </c:pt>
                <c:pt idx="4">
                  <c:v>56.0</c:v>
                </c:pt>
                <c:pt idx="5">
                  <c:v>48.0</c:v>
                </c:pt>
                <c:pt idx="6">
                  <c:v>54.0</c:v>
                </c:pt>
                <c:pt idx="7">
                  <c:v>53.0</c:v>
                </c:pt>
              </c:numCache>
            </c:numRef>
          </c:val>
        </c:ser>
        <c:ser>
          <c:idx val="3"/>
          <c:order val="3"/>
          <c:tx>
            <c:strRef>
              <c:f>enrol.txt!$A$44</c:f>
              <c:strCache>
                <c:ptCount val="1"/>
                <c:pt idx="0">
                  <c:v>CYBR</c:v>
                </c:pt>
              </c:strCache>
            </c:strRef>
          </c:tx>
          <c:invertIfNegative val="0"/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layout>
                <c:manualLayout>
                  <c:x val="0.0108527131782946"/>
                  <c:y val="0.023148148148148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layout>
                <c:manualLayout>
                  <c:x val="0.00930232558139535"/>
                  <c:y val="0.037037037037036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layout>
                <c:manualLayout>
                  <c:x val="0.0186046511627907"/>
                  <c:y val="0.013888888888888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enrol.txt!$B$1:$I$1</c:f>
              <c:numCache>
                <c:formatCode>0</c:formatCode>
                <c:ptCount val="8"/>
                <c:pt idx="0">
                  <c:v>2006.0</c:v>
                </c:pt>
                <c:pt idx="1">
                  <c:v>2007.0</c:v>
                </c:pt>
                <c:pt idx="2">
                  <c:v>2008.0</c:v>
                </c:pt>
                <c:pt idx="3">
                  <c:v>2009.0</c:v>
                </c:pt>
                <c:pt idx="4">
                  <c:v>2010.0</c:v>
                </c:pt>
                <c:pt idx="5">
                  <c:v>2011.0</c:v>
                </c:pt>
                <c:pt idx="6" formatCode="General">
                  <c:v>2012.0</c:v>
                </c:pt>
                <c:pt idx="7" formatCode="General">
                  <c:v>2013.0</c:v>
                </c:pt>
              </c:numCache>
            </c:numRef>
          </c:cat>
          <c:val>
            <c:numRef>
              <c:f>enrol.txt!$B$44:$I$44</c:f>
              <c:numCache>
                <c:formatCode>0</c:formatCode>
                <c:ptCount val="8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87.0</c:v>
                </c:pt>
                <c:pt idx="6">
                  <c:v>142.0</c:v>
                </c:pt>
                <c:pt idx="7">
                  <c:v>173.0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-2116417672"/>
        <c:axId val="-2116189128"/>
      </c:barChart>
      <c:catAx>
        <c:axId val="-211641767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-2116189128"/>
        <c:crosses val="autoZero"/>
        <c:auto val="1"/>
        <c:lblAlgn val="ctr"/>
        <c:lblOffset val="100"/>
        <c:noMultiLvlLbl val="0"/>
      </c:catAx>
      <c:valAx>
        <c:axId val="-211618912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-21164176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3200"/>
            </a:pPr>
            <a:r>
              <a:rPr lang="en-US" sz="3200"/>
              <a:t>CMSC</a:t>
            </a:r>
            <a:r>
              <a:rPr lang="en-US" sz="3200" baseline="0"/>
              <a:t> students 2006-2013</a:t>
            </a:r>
            <a:endParaRPr lang="en-US" sz="3200"/>
          </a:p>
        </c:rich>
      </c:tx>
      <c:layout>
        <c:manualLayout>
          <c:xMode val="edge"/>
          <c:yMode val="edge"/>
          <c:x val="0.065655416943364"/>
          <c:y val="0.0763582966226138"/>
        </c:manualLayout>
      </c:layout>
      <c:overlay val="1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enrol.txt!$A$4</c:f>
              <c:strCache>
                <c:ptCount val="1"/>
                <c:pt idx="0">
                  <c:v>CMSC BS</c:v>
                </c:pt>
              </c:strCache>
            </c:strRef>
          </c:tx>
          <c:invertIfNegative val="0"/>
          <c:cat>
            <c:numRef>
              <c:f>enrol.txt!$B$1:$I$1</c:f>
              <c:numCache>
                <c:formatCode>0</c:formatCode>
                <c:ptCount val="8"/>
                <c:pt idx="0">
                  <c:v>2006.0</c:v>
                </c:pt>
                <c:pt idx="1">
                  <c:v>2007.0</c:v>
                </c:pt>
                <c:pt idx="2">
                  <c:v>2008.0</c:v>
                </c:pt>
                <c:pt idx="3">
                  <c:v>2009.0</c:v>
                </c:pt>
                <c:pt idx="4">
                  <c:v>2010.0</c:v>
                </c:pt>
                <c:pt idx="5">
                  <c:v>2011.0</c:v>
                </c:pt>
                <c:pt idx="6" formatCode="General">
                  <c:v>2012.0</c:v>
                </c:pt>
                <c:pt idx="7" formatCode="General">
                  <c:v>2013.0</c:v>
                </c:pt>
              </c:numCache>
            </c:numRef>
          </c:cat>
          <c:val>
            <c:numRef>
              <c:f>enrol.txt!$B$4:$I$4</c:f>
              <c:numCache>
                <c:formatCode>0</c:formatCode>
                <c:ptCount val="8"/>
                <c:pt idx="0">
                  <c:v>606.0</c:v>
                </c:pt>
                <c:pt idx="1">
                  <c:v>548.0</c:v>
                </c:pt>
                <c:pt idx="2">
                  <c:v>560.0</c:v>
                </c:pt>
                <c:pt idx="3">
                  <c:v>609.0</c:v>
                </c:pt>
                <c:pt idx="4">
                  <c:v>646.0</c:v>
                </c:pt>
                <c:pt idx="5">
                  <c:v>687.0</c:v>
                </c:pt>
                <c:pt idx="6" formatCode="General">
                  <c:v>796.0</c:v>
                </c:pt>
                <c:pt idx="7" formatCode="General">
                  <c:v>867.0</c:v>
                </c:pt>
              </c:numCache>
            </c:numRef>
          </c:val>
        </c:ser>
        <c:ser>
          <c:idx val="1"/>
          <c:order val="1"/>
          <c:tx>
            <c:strRef>
              <c:f>enrol.txt!$A$11</c:f>
              <c:strCache>
                <c:ptCount val="1"/>
                <c:pt idx="0">
                  <c:v>CMSC PhD</c:v>
                </c:pt>
              </c:strCache>
            </c:strRef>
          </c:tx>
          <c:invertIfNegative val="0"/>
          <c:cat>
            <c:numRef>
              <c:f>enrol.txt!$B$1:$I$1</c:f>
              <c:numCache>
                <c:formatCode>0</c:formatCode>
                <c:ptCount val="8"/>
                <c:pt idx="0">
                  <c:v>2006.0</c:v>
                </c:pt>
                <c:pt idx="1">
                  <c:v>2007.0</c:v>
                </c:pt>
                <c:pt idx="2">
                  <c:v>2008.0</c:v>
                </c:pt>
                <c:pt idx="3">
                  <c:v>2009.0</c:v>
                </c:pt>
                <c:pt idx="4">
                  <c:v>2010.0</c:v>
                </c:pt>
                <c:pt idx="5">
                  <c:v>2011.0</c:v>
                </c:pt>
                <c:pt idx="6" formatCode="General">
                  <c:v>2012.0</c:v>
                </c:pt>
                <c:pt idx="7" formatCode="General">
                  <c:v>2013.0</c:v>
                </c:pt>
              </c:numCache>
            </c:numRef>
          </c:cat>
          <c:val>
            <c:numRef>
              <c:f>enrol.txt!$B$11:$I$11</c:f>
              <c:numCache>
                <c:formatCode>0</c:formatCode>
                <c:ptCount val="8"/>
                <c:pt idx="0">
                  <c:v>69.0</c:v>
                </c:pt>
                <c:pt idx="1">
                  <c:v>67.0</c:v>
                </c:pt>
                <c:pt idx="2">
                  <c:v>64.0</c:v>
                </c:pt>
                <c:pt idx="3">
                  <c:v>70.0</c:v>
                </c:pt>
                <c:pt idx="4">
                  <c:v>69.0</c:v>
                </c:pt>
                <c:pt idx="5">
                  <c:v>66.0</c:v>
                </c:pt>
                <c:pt idx="6" formatCode="General">
                  <c:v>82.0</c:v>
                </c:pt>
                <c:pt idx="7" formatCode="General">
                  <c:v>70.0</c:v>
                </c:pt>
              </c:numCache>
            </c:numRef>
          </c:val>
        </c:ser>
        <c:ser>
          <c:idx val="2"/>
          <c:order val="2"/>
          <c:tx>
            <c:strRef>
              <c:f>enrol.txt!$A$18</c:f>
              <c:strCache>
                <c:ptCount val="1"/>
                <c:pt idx="0">
                  <c:v>CMSC MS</c:v>
                </c:pt>
              </c:strCache>
            </c:strRef>
          </c:tx>
          <c:invertIfNegative val="0"/>
          <c:cat>
            <c:numRef>
              <c:f>enrol.txt!$B$1:$I$1</c:f>
              <c:numCache>
                <c:formatCode>0</c:formatCode>
                <c:ptCount val="8"/>
                <c:pt idx="0">
                  <c:v>2006.0</c:v>
                </c:pt>
                <c:pt idx="1">
                  <c:v>2007.0</c:v>
                </c:pt>
                <c:pt idx="2">
                  <c:v>2008.0</c:v>
                </c:pt>
                <c:pt idx="3">
                  <c:v>2009.0</c:v>
                </c:pt>
                <c:pt idx="4">
                  <c:v>2010.0</c:v>
                </c:pt>
                <c:pt idx="5">
                  <c:v>2011.0</c:v>
                </c:pt>
                <c:pt idx="6" formatCode="General">
                  <c:v>2012.0</c:v>
                </c:pt>
                <c:pt idx="7" formatCode="General">
                  <c:v>2013.0</c:v>
                </c:pt>
              </c:numCache>
            </c:numRef>
          </c:cat>
          <c:val>
            <c:numRef>
              <c:f>enrol.txt!$B$18:$I$18</c:f>
              <c:numCache>
                <c:formatCode>0</c:formatCode>
                <c:ptCount val="8"/>
                <c:pt idx="0">
                  <c:v>61.0</c:v>
                </c:pt>
                <c:pt idx="1">
                  <c:v>59.0</c:v>
                </c:pt>
                <c:pt idx="2">
                  <c:v>63.0</c:v>
                </c:pt>
                <c:pt idx="3">
                  <c:v>89.0</c:v>
                </c:pt>
                <c:pt idx="4">
                  <c:v>82.0</c:v>
                </c:pt>
                <c:pt idx="5">
                  <c:v>66.0</c:v>
                </c:pt>
                <c:pt idx="6" formatCode="General">
                  <c:v>87.0</c:v>
                </c:pt>
                <c:pt idx="7" formatCode="General">
                  <c:v>92.0</c:v>
                </c:pt>
              </c:numCache>
            </c:numRef>
          </c:val>
        </c:ser>
        <c:ser>
          <c:idx val="3"/>
          <c:order val="3"/>
          <c:tx>
            <c:strRef>
              <c:f>enrol.txt!$A$29</c:f>
              <c:strCache>
                <c:ptCount val="1"/>
                <c:pt idx="0">
                  <c:v>CMSC ND</c:v>
                </c:pt>
              </c:strCache>
            </c:strRef>
          </c:tx>
          <c:invertIfNegative val="0"/>
          <c:cat>
            <c:numRef>
              <c:f>enrol.txt!$B$1:$I$1</c:f>
              <c:numCache>
                <c:formatCode>0</c:formatCode>
                <c:ptCount val="8"/>
                <c:pt idx="0">
                  <c:v>2006.0</c:v>
                </c:pt>
                <c:pt idx="1">
                  <c:v>2007.0</c:v>
                </c:pt>
                <c:pt idx="2">
                  <c:v>2008.0</c:v>
                </c:pt>
                <c:pt idx="3">
                  <c:v>2009.0</c:v>
                </c:pt>
                <c:pt idx="4">
                  <c:v>2010.0</c:v>
                </c:pt>
                <c:pt idx="5">
                  <c:v>2011.0</c:v>
                </c:pt>
                <c:pt idx="6" formatCode="General">
                  <c:v>2012.0</c:v>
                </c:pt>
                <c:pt idx="7" formatCode="General">
                  <c:v>2013.0</c:v>
                </c:pt>
              </c:numCache>
            </c:numRef>
          </c:cat>
          <c:val>
            <c:numRef>
              <c:f>enrol.txt!$B$29:$I$29</c:f>
              <c:numCache>
                <c:formatCode>0</c:formatCode>
                <c:ptCount val="8"/>
                <c:pt idx="0">
                  <c:v>7.0</c:v>
                </c:pt>
                <c:pt idx="1">
                  <c:v>7.0</c:v>
                </c:pt>
                <c:pt idx="2">
                  <c:v>7.0</c:v>
                </c:pt>
                <c:pt idx="3">
                  <c:v>24.0</c:v>
                </c:pt>
                <c:pt idx="4">
                  <c:v>51.0</c:v>
                </c:pt>
                <c:pt idx="5">
                  <c:v>54.0</c:v>
                </c:pt>
                <c:pt idx="6" formatCode="General">
                  <c:v>25.0</c:v>
                </c:pt>
                <c:pt idx="7" formatCode="General">
                  <c:v>34.0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2093015976"/>
        <c:axId val="-2093013896"/>
      </c:barChart>
      <c:catAx>
        <c:axId val="-2093015976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-2093013896"/>
        <c:crosses val="autoZero"/>
        <c:auto val="1"/>
        <c:lblAlgn val="ctr"/>
        <c:lblOffset val="100"/>
        <c:noMultiLvlLbl val="0"/>
      </c:catAx>
      <c:valAx>
        <c:axId val="-209301389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-20930159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406400</xdr:colOff>
      <xdr:row>22</xdr:row>
      <xdr:rowOff>101600</xdr:rowOff>
    </xdr:from>
    <xdr:to>
      <xdr:col>18</xdr:col>
      <xdr:colOff>0</xdr:colOff>
      <xdr:row>39</xdr:row>
      <xdr:rowOff>101600</xdr:rowOff>
    </xdr:to>
    <xdr:graphicFrame macro="">
      <xdr:nvGraphicFramePr>
        <xdr:cNvPr id="6188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431800</xdr:colOff>
      <xdr:row>40</xdr:row>
      <xdr:rowOff>152400</xdr:rowOff>
    </xdr:from>
    <xdr:to>
      <xdr:col>18</xdr:col>
      <xdr:colOff>38100</xdr:colOff>
      <xdr:row>57</xdr:row>
      <xdr:rowOff>177800</xdr:rowOff>
    </xdr:to>
    <xdr:graphicFrame macro="">
      <xdr:nvGraphicFramePr>
        <xdr:cNvPr id="6189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368300</xdr:colOff>
      <xdr:row>5</xdr:row>
      <xdr:rowOff>107950</xdr:rowOff>
    </xdr:from>
    <xdr:to>
      <xdr:col>17</xdr:col>
      <xdr:colOff>939800</xdr:colOff>
      <xdr:row>22</xdr:row>
      <xdr:rowOff>44450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419100</xdr:colOff>
      <xdr:row>58</xdr:row>
      <xdr:rowOff>120650</xdr:rowOff>
    </xdr:from>
    <xdr:to>
      <xdr:col>18</xdr:col>
      <xdr:colOff>279400</xdr:colOff>
      <xdr:row>79</xdr:row>
      <xdr:rowOff>177800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5"/>
  <sheetViews>
    <sheetView tabSelected="1" topLeftCell="A42" workbookViewId="0">
      <selection activeCell="G71" sqref="G71"/>
    </sheetView>
  </sheetViews>
  <sheetFormatPr baseColWidth="10" defaultRowHeight="16" x14ac:dyDescent="0"/>
  <cols>
    <col min="1" max="1" width="11.140625" style="3" customWidth="1"/>
    <col min="2" max="7" width="7.7109375" style="4" customWidth="1"/>
    <col min="8" max="9" width="10.7109375" style="8"/>
    <col min="10" max="16384" width="10.7109375" style="6"/>
  </cols>
  <sheetData>
    <row r="1" spans="1:9" s="5" customFormat="1" ht="13" customHeight="1">
      <c r="A1" s="1" t="s">
        <v>0</v>
      </c>
      <c r="B1" s="2">
        <v>2006</v>
      </c>
      <c r="C1" s="2">
        <v>2007</v>
      </c>
      <c r="D1" s="2">
        <v>2008</v>
      </c>
      <c r="E1" s="2">
        <v>2009</v>
      </c>
      <c r="F1" s="2">
        <v>2010</v>
      </c>
      <c r="G1" s="2">
        <v>2011</v>
      </c>
      <c r="H1" s="7">
        <v>2012</v>
      </c>
      <c r="I1" s="7">
        <v>2013</v>
      </c>
    </row>
    <row r="2" spans="1:9" ht="13" customHeight="1"/>
    <row r="3" spans="1:9" ht="13" customHeight="1">
      <c r="A3" s="1" t="s">
        <v>1</v>
      </c>
    </row>
    <row r="4" spans="1:9" ht="13" customHeight="1">
      <c r="A4" s="10" t="s">
        <v>30</v>
      </c>
      <c r="B4" s="4">
        <v>606</v>
      </c>
      <c r="C4" s="4">
        <v>548</v>
      </c>
      <c r="D4" s="4">
        <v>560</v>
      </c>
      <c r="E4" s="4">
        <v>609</v>
      </c>
      <c r="F4" s="4">
        <v>646</v>
      </c>
      <c r="G4" s="4">
        <v>687</v>
      </c>
      <c r="H4" s="9">
        <v>796</v>
      </c>
      <c r="I4" s="9">
        <v>867</v>
      </c>
    </row>
    <row r="5" spans="1:9" ht="13" customHeight="1">
      <c r="A5" s="3" t="s">
        <v>3</v>
      </c>
      <c r="B5" s="4">
        <v>246</v>
      </c>
      <c r="C5" s="4">
        <v>220</v>
      </c>
      <c r="D5" s="4">
        <v>231</v>
      </c>
      <c r="E5" s="4">
        <v>192</v>
      </c>
      <c r="F5" s="4">
        <v>240</v>
      </c>
      <c r="G5" s="4">
        <v>227</v>
      </c>
      <c r="H5" s="9">
        <v>288</v>
      </c>
      <c r="I5" s="9">
        <v>326</v>
      </c>
    </row>
    <row r="6" spans="1:9" ht="13" customHeight="1">
      <c r="A6" s="3" t="s">
        <v>4</v>
      </c>
      <c r="B6" s="4">
        <v>571</v>
      </c>
      <c r="C6" s="4">
        <v>524</v>
      </c>
      <c r="D6" s="4">
        <v>488</v>
      </c>
      <c r="E6" s="4">
        <v>511</v>
      </c>
      <c r="F6" s="4">
        <v>542</v>
      </c>
      <c r="G6" s="4">
        <v>556</v>
      </c>
      <c r="H6" s="9">
        <v>603</v>
      </c>
      <c r="I6" s="9">
        <v>628</v>
      </c>
    </row>
    <row r="7" spans="1:9" ht="13" customHeight="1">
      <c r="A7" s="3" t="s">
        <v>5</v>
      </c>
      <c r="B7" s="4">
        <v>103</v>
      </c>
      <c r="C7" s="4">
        <v>137</v>
      </c>
      <c r="D7" s="4">
        <v>185</v>
      </c>
      <c r="E7" s="4">
        <v>211</v>
      </c>
      <c r="F7" s="4">
        <v>224</v>
      </c>
      <c r="G7" s="4">
        <v>229</v>
      </c>
      <c r="H7" s="9">
        <v>239</v>
      </c>
      <c r="I7" s="9">
        <v>235</v>
      </c>
    </row>
    <row r="8" spans="1:9" ht="13" customHeight="1">
      <c r="A8" s="3" t="s">
        <v>6</v>
      </c>
      <c r="B8" s="4">
        <v>61</v>
      </c>
      <c r="C8" s="4">
        <v>48</v>
      </c>
      <c r="D8" s="4">
        <v>42</v>
      </c>
      <c r="E8" s="4">
        <v>21</v>
      </c>
      <c r="F8" s="4">
        <v>29</v>
      </c>
      <c r="G8" s="4">
        <v>23</v>
      </c>
      <c r="H8" s="9">
        <v>29</v>
      </c>
      <c r="I8" s="9">
        <v>40</v>
      </c>
    </row>
    <row r="9" spans="1:9" ht="13" customHeight="1">
      <c r="H9" s="9"/>
      <c r="I9" s="9"/>
    </row>
    <row r="10" spans="1:9" ht="13" customHeight="1">
      <c r="A10" s="1" t="s">
        <v>7</v>
      </c>
      <c r="H10" s="9"/>
      <c r="I10" s="9"/>
    </row>
    <row r="11" spans="1:9" ht="13" customHeight="1">
      <c r="A11" s="10" t="s">
        <v>31</v>
      </c>
      <c r="B11" s="4">
        <v>69</v>
      </c>
      <c r="C11" s="4">
        <v>67</v>
      </c>
      <c r="D11" s="4">
        <v>64</v>
      </c>
      <c r="E11" s="4">
        <v>70</v>
      </c>
      <c r="F11" s="4">
        <v>69</v>
      </c>
      <c r="G11" s="4">
        <v>66</v>
      </c>
      <c r="H11" s="9">
        <v>82</v>
      </c>
      <c r="I11" s="9">
        <v>70</v>
      </c>
    </row>
    <row r="12" spans="1:9" ht="13" customHeight="1">
      <c r="A12" s="3" t="s">
        <v>3</v>
      </c>
      <c r="B12" s="4">
        <v>11</v>
      </c>
      <c r="C12" s="4">
        <v>11</v>
      </c>
      <c r="D12" s="4">
        <v>13</v>
      </c>
      <c r="E12" s="4">
        <v>10</v>
      </c>
      <c r="F12" s="4">
        <v>9</v>
      </c>
      <c r="G12" s="4">
        <v>11</v>
      </c>
      <c r="H12" s="9">
        <v>15</v>
      </c>
      <c r="I12" s="9">
        <v>18</v>
      </c>
    </row>
    <row r="13" spans="1:9" ht="13" customHeight="1">
      <c r="A13" s="3" t="s">
        <v>8</v>
      </c>
      <c r="B13" s="4">
        <v>40</v>
      </c>
      <c r="C13" s="4">
        <v>38</v>
      </c>
      <c r="D13" s="4">
        <v>31</v>
      </c>
      <c r="E13" s="4">
        <v>38</v>
      </c>
      <c r="F13" s="4">
        <v>38</v>
      </c>
      <c r="G13" s="4">
        <v>35</v>
      </c>
      <c r="H13" s="9">
        <v>42</v>
      </c>
      <c r="I13" s="9">
        <v>34</v>
      </c>
    </row>
    <row r="14" spans="1:9" ht="13" customHeight="1">
      <c r="A14" s="3" t="s">
        <v>4</v>
      </c>
      <c r="B14" s="4">
        <v>54</v>
      </c>
      <c r="C14" s="4">
        <v>52</v>
      </c>
      <c r="D14" s="4">
        <v>53</v>
      </c>
      <c r="E14" s="4">
        <v>58</v>
      </c>
      <c r="F14" s="4">
        <v>50</v>
      </c>
      <c r="G14" s="4">
        <v>46</v>
      </c>
      <c r="H14" s="9">
        <v>56</v>
      </c>
      <c r="I14" s="9">
        <v>48</v>
      </c>
    </row>
    <row r="15" spans="1:9" ht="13" customHeight="1">
      <c r="A15" s="3" t="s">
        <v>9</v>
      </c>
      <c r="B15" s="4">
        <v>0</v>
      </c>
      <c r="C15" s="4">
        <v>3</v>
      </c>
      <c r="D15" s="4">
        <v>4</v>
      </c>
      <c r="E15" s="4">
        <v>5</v>
      </c>
      <c r="F15" s="4">
        <v>10</v>
      </c>
      <c r="G15" s="4">
        <v>17</v>
      </c>
      <c r="H15" s="9">
        <v>21</v>
      </c>
      <c r="I15" s="9">
        <v>18</v>
      </c>
    </row>
    <row r="16" spans="1:9" ht="13" customHeight="1">
      <c r="H16" s="9"/>
      <c r="I16" s="9"/>
    </row>
    <row r="17" spans="1:9" ht="13" customHeight="1">
      <c r="A17" s="1" t="s">
        <v>10</v>
      </c>
      <c r="H17" s="9"/>
      <c r="I17" s="9"/>
    </row>
    <row r="18" spans="1:9" ht="13" customHeight="1">
      <c r="A18" s="10" t="s">
        <v>32</v>
      </c>
      <c r="B18" s="4">
        <v>61</v>
      </c>
      <c r="C18" s="4">
        <v>59</v>
      </c>
      <c r="D18" s="4">
        <v>63</v>
      </c>
      <c r="E18" s="4">
        <v>89</v>
      </c>
      <c r="F18" s="4">
        <v>82</v>
      </c>
      <c r="G18" s="4">
        <v>66</v>
      </c>
      <c r="H18" s="9">
        <v>87</v>
      </c>
      <c r="I18" s="9">
        <v>92</v>
      </c>
    </row>
    <row r="19" spans="1:9" ht="13" customHeight="1">
      <c r="A19" s="3" t="s">
        <v>3</v>
      </c>
      <c r="B19" s="4">
        <v>23</v>
      </c>
      <c r="C19" s="4">
        <v>16</v>
      </c>
      <c r="D19" s="4">
        <v>19</v>
      </c>
      <c r="E19" s="4">
        <v>16</v>
      </c>
      <c r="F19" s="4">
        <v>14</v>
      </c>
      <c r="G19" s="4">
        <v>11</v>
      </c>
      <c r="H19" s="9">
        <v>14</v>
      </c>
      <c r="I19" s="9">
        <v>19</v>
      </c>
    </row>
    <row r="20" spans="1:9" ht="13" customHeight="1">
      <c r="A20" s="3" t="s">
        <v>8</v>
      </c>
      <c r="B20" s="4">
        <v>29</v>
      </c>
      <c r="C20" s="4">
        <v>37</v>
      </c>
      <c r="D20" s="4">
        <v>20</v>
      </c>
      <c r="E20" s="4">
        <v>15</v>
      </c>
      <c r="F20" s="4">
        <v>16</v>
      </c>
      <c r="G20" s="4">
        <v>11</v>
      </c>
      <c r="H20" s="9">
        <v>11</v>
      </c>
      <c r="I20" s="9">
        <v>15</v>
      </c>
    </row>
    <row r="21" spans="1:9" ht="13" customHeight="1">
      <c r="A21" s="3" t="s">
        <v>11</v>
      </c>
      <c r="B21" s="4">
        <v>0</v>
      </c>
      <c r="C21" s="4">
        <v>0</v>
      </c>
      <c r="D21" s="4">
        <v>15</v>
      </c>
      <c r="E21" s="4">
        <v>24</v>
      </c>
      <c r="F21" s="4">
        <v>21</v>
      </c>
      <c r="G21" s="4">
        <v>25</v>
      </c>
      <c r="H21" s="9">
        <v>38</v>
      </c>
      <c r="I21" s="9">
        <v>50</v>
      </c>
    </row>
    <row r="22" spans="1:9" ht="13" customHeight="1">
      <c r="A22" s="3" t="s">
        <v>12</v>
      </c>
      <c r="B22" s="4">
        <v>15</v>
      </c>
      <c r="C22" s="4">
        <v>31</v>
      </c>
      <c r="D22" s="4">
        <v>47</v>
      </c>
      <c r="E22" s="4">
        <v>67</v>
      </c>
      <c r="F22" s="4">
        <v>62</v>
      </c>
      <c r="G22" s="4">
        <v>63</v>
      </c>
      <c r="H22" s="9">
        <v>74</v>
      </c>
      <c r="I22" s="9">
        <v>73</v>
      </c>
    </row>
    <row r="23" spans="1:9" ht="13" customHeight="1">
      <c r="A23" s="3" t="s">
        <v>13</v>
      </c>
      <c r="B23" s="4">
        <f>+B38</f>
        <v>0</v>
      </c>
      <c r="C23" s="4">
        <v>0</v>
      </c>
      <c r="D23" s="4">
        <v>0</v>
      </c>
      <c r="E23" s="4">
        <v>0</v>
      </c>
      <c r="F23" s="4">
        <v>0</v>
      </c>
      <c r="G23" s="4">
        <v>59</v>
      </c>
      <c r="H23" s="9">
        <v>106</v>
      </c>
      <c r="I23" s="9">
        <v>146</v>
      </c>
    </row>
    <row r="24" spans="1:9" ht="13" customHeight="1">
      <c r="A24" s="3" t="s">
        <v>4</v>
      </c>
      <c r="B24" s="4">
        <v>103</v>
      </c>
      <c r="C24" s="4">
        <v>107</v>
      </c>
      <c r="D24" s="4">
        <v>102</v>
      </c>
      <c r="E24" s="4">
        <v>127</v>
      </c>
      <c r="F24" s="4">
        <v>125</v>
      </c>
      <c r="G24" s="4">
        <v>127</v>
      </c>
      <c r="H24" s="9">
        <v>134</v>
      </c>
      <c r="I24" s="9">
        <v>161</v>
      </c>
    </row>
    <row r="25" spans="1:9" ht="13" customHeight="1">
      <c r="A25" s="3" t="s">
        <v>14</v>
      </c>
      <c r="B25" s="4">
        <v>223</v>
      </c>
      <c r="C25" s="4">
        <v>237</v>
      </c>
      <c r="D25" s="4">
        <v>239</v>
      </c>
      <c r="E25" s="4">
        <v>276</v>
      </c>
      <c r="F25" s="4">
        <v>190</v>
      </c>
      <c r="G25" s="4">
        <v>145</v>
      </c>
      <c r="H25" s="9">
        <v>186</v>
      </c>
      <c r="I25" s="9">
        <v>177</v>
      </c>
    </row>
    <row r="26" spans="1:9" ht="13" customHeight="1">
      <c r="A26" s="3" t="s">
        <v>9</v>
      </c>
      <c r="B26" s="4">
        <v>0</v>
      </c>
      <c r="C26" s="4">
        <v>5</v>
      </c>
      <c r="D26" s="4">
        <v>19</v>
      </c>
      <c r="E26" s="4">
        <v>23</v>
      </c>
      <c r="F26" s="4">
        <v>41</v>
      </c>
      <c r="G26" s="4">
        <v>38</v>
      </c>
      <c r="H26" s="9">
        <v>41</v>
      </c>
      <c r="I26" s="9">
        <v>45</v>
      </c>
    </row>
    <row r="27" spans="1:9" ht="13" customHeight="1">
      <c r="H27" s="9"/>
      <c r="I27" s="9"/>
    </row>
    <row r="28" spans="1:9" ht="13" customHeight="1">
      <c r="A28" s="1" t="s">
        <v>15</v>
      </c>
      <c r="H28" s="9"/>
      <c r="I28" s="9"/>
    </row>
    <row r="29" spans="1:9" ht="13" customHeight="1">
      <c r="A29" s="10" t="s">
        <v>33</v>
      </c>
      <c r="B29" s="4">
        <v>7</v>
      </c>
      <c r="C29" s="4">
        <v>7</v>
      </c>
      <c r="D29" s="4">
        <v>7</v>
      </c>
      <c r="E29" s="4">
        <v>24</v>
      </c>
      <c r="F29" s="4">
        <v>51</v>
      </c>
      <c r="G29" s="4">
        <v>54</v>
      </c>
      <c r="H29" s="9">
        <v>25</v>
      </c>
      <c r="I29" s="9">
        <v>34</v>
      </c>
    </row>
    <row r="30" spans="1:9" ht="13" customHeight="1">
      <c r="A30" s="3" t="s">
        <v>3</v>
      </c>
      <c r="B30" s="4">
        <v>2</v>
      </c>
      <c r="C30" s="4">
        <v>1</v>
      </c>
      <c r="D30" s="4">
        <v>1</v>
      </c>
      <c r="E30" s="4">
        <v>0</v>
      </c>
      <c r="F30" s="4">
        <v>1</v>
      </c>
      <c r="G30" s="4">
        <v>0</v>
      </c>
      <c r="H30" s="9">
        <v>2</v>
      </c>
      <c r="I30" s="9">
        <v>0</v>
      </c>
    </row>
    <row r="31" spans="1:9" ht="13" customHeight="1">
      <c r="A31" s="3" t="s">
        <v>8</v>
      </c>
      <c r="B31" s="4">
        <v>10</v>
      </c>
      <c r="C31" s="4">
        <v>4</v>
      </c>
      <c r="D31" s="4">
        <v>7</v>
      </c>
      <c r="E31" s="4">
        <v>3</v>
      </c>
      <c r="F31" s="4">
        <v>2</v>
      </c>
      <c r="G31" s="4">
        <v>2</v>
      </c>
      <c r="H31" s="9">
        <v>1</v>
      </c>
      <c r="I31" s="9">
        <v>4</v>
      </c>
    </row>
    <row r="32" spans="1:9" ht="13" customHeight="1">
      <c r="A32" s="3" t="s">
        <v>12</v>
      </c>
      <c r="B32" s="4">
        <v>1</v>
      </c>
      <c r="C32" s="4">
        <v>2</v>
      </c>
      <c r="D32" s="4">
        <v>1</v>
      </c>
      <c r="E32" s="4">
        <v>3</v>
      </c>
      <c r="F32" s="4">
        <v>0</v>
      </c>
      <c r="G32" s="4">
        <v>5</v>
      </c>
      <c r="H32" s="9">
        <v>0</v>
      </c>
      <c r="I32" s="9">
        <v>3</v>
      </c>
    </row>
    <row r="33" spans="1:18" ht="13" customHeight="1">
      <c r="A33" s="3" t="s">
        <v>11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2</v>
      </c>
      <c r="H33" s="9">
        <v>1</v>
      </c>
      <c r="I33" s="9">
        <v>1</v>
      </c>
    </row>
    <row r="34" spans="1:18" ht="13" customHeight="1">
      <c r="H34" s="9"/>
      <c r="I34" s="9"/>
      <c r="P34" s="6">
        <v>10573</v>
      </c>
    </row>
    <row r="35" spans="1:18" ht="13" customHeight="1">
      <c r="A35" s="1" t="s">
        <v>16</v>
      </c>
      <c r="H35" s="9"/>
      <c r="I35" s="9"/>
      <c r="P35" s="6">
        <v>2626</v>
      </c>
    </row>
    <row r="36" spans="1:18" ht="13" customHeight="1">
      <c r="A36" s="3" t="s">
        <v>17</v>
      </c>
      <c r="B36" s="4">
        <v>0</v>
      </c>
      <c r="C36" s="4">
        <v>6</v>
      </c>
      <c r="D36" s="4">
        <v>17</v>
      </c>
      <c r="E36" s="4">
        <v>25</v>
      </c>
      <c r="F36" s="4">
        <v>23</v>
      </c>
      <c r="G36" s="4">
        <v>19</v>
      </c>
      <c r="H36" s="9">
        <v>9</v>
      </c>
      <c r="I36" s="9">
        <v>15</v>
      </c>
      <c r="P36" s="6">
        <f>SUM(P34:P35)</f>
        <v>13199</v>
      </c>
      <c r="R36" s="6">
        <f>(G56+SUM(G29:G31))/P36</f>
        <v>0.18471096295173878</v>
      </c>
    </row>
    <row r="37" spans="1:18" ht="13" customHeight="1">
      <c r="A37" s="10" t="s">
        <v>11</v>
      </c>
      <c r="B37" s="4">
        <v>44</v>
      </c>
      <c r="C37" s="4">
        <v>35</v>
      </c>
      <c r="D37" s="4">
        <v>25</v>
      </c>
      <c r="E37" s="4">
        <v>16</v>
      </c>
      <c r="F37" s="4">
        <v>13</v>
      </c>
      <c r="G37" s="4">
        <v>14</v>
      </c>
      <c r="H37" s="9">
        <v>12</v>
      </c>
      <c r="I37" s="9">
        <v>11</v>
      </c>
    </row>
    <row r="38" spans="1:18" ht="13" customHeight="1">
      <c r="A38" s="10" t="s">
        <v>13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28</v>
      </c>
      <c r="H38" s="9">
        <v>36</v>
      </c>
      <c r="I38" s="9">
        <v>27</v>
      </c>
    </row>
    <row r="39" spans="1:18" ht="13" customHeight="1">
      <c r="H39" s="9"/>
      <c r="I39" s="9"/>
    </row>
    <row r="40" spans="1:18" ht="13" customHeight="1">
      <c r="A40" s="1" t="s">
        <v>25</v>
      </c>
      <c r="H40" s="9"/>
      <c r="I40" s="9"/>
    </row>
    <row r="41" spans="1:18" ht="13" customHeight="1">
      <c r="A41" s="10" t="s">
        <v>2</v>
      </c>
      <c r="B41" s="4">
        <f>B4+B11+B18+B29</f>
        <v>743</v>
      </c>
      <c r="C41" s="4">
        <f t="shared" ref="C41:I41" si="0">C4+C11+C18+C29</f>
        <v>681</v>
      </c>
      <c r="D41" s="4">
        <f t="shared" si="0"/>
        <v>694</v>
      </c>
      <c r="E41" s="4">
        <f t="shared" si="0"/>
        <v>792</v>
      </c>
      <c r="F41" s="4">
        <f t="shared" si="0"/>
        <v>848</v>
      </c>
      <c r="G41" s="4">
        <f t="shared" si="0"/>
        <v>873</v>
      </c>
      <c r="H41" s="4">
        <f t="shared" si="0"/>
        <v>990</v>
      </c>
      <c r="I41" s="4">
        <f t="shared" si="0"/>
        <v>1063</v>
      </c>
    </row>
    <row r="42" spans="1:18" ht="13" customHeight="1">
      <c r="A42" s="10" t="s">
        <v>3</v>
      </c>
      <c r="B42" s="4">
        <f>B5+B12+B19+B30</f>
        <v>282</v>
      </c>
      <c r="C42" s="4">
        <f t="shared" ref="C42:I42" si="1">C5+C12+C19+C30</f>
        <v>248</v>
      </c>
      <c r="D42" s="4">
        <f t="shared" si="1"/>
        <v>264</v>
      </c>
      <c r="E42" s="4">
        <f t="shared" si="1"/>
        <v>218</v>
      </c>
      <c r="F42" s="4">
        <f t="shared" si="1"/>
        <v>264</v>
      </c>
      <c r="G42" s="4">
        <f t="shared" si="1"/>
        <v>249</v>
      </c>
      <c r="H42" s="4">
        <f t="shared" si="1"/>
        <v>319</v>
      </c>
      <c r="I42" s="4">
        <f t="shared" si="1"/>
        <v>363</v>
      </c>
    </row>
    <row r="43" spans="1:18" ht="13" customHeight="1">
      <c r="A43" s="10" t="s">
        <v>26</v>
      </c>
      <c r="B43" s="4">
        <f>B13+B20+B31</f>
        <v>79</v>
      </c>
      <c r="C43" s="4">
        <f t="shared" ref="C43:I43" si="2">C13+C20+C31</f>
        <v>79</v>
      </c>
      <c r="D43" s="4">
        <f t="shared" si="2"/>
        <v>58</v>
      </c>
      <c r="E43" s="4">
        <f t="shared" si="2"/>
        <v>56</v>
      </c>
      <c r="F43" s="4">
        <f t="shared" si="2"/>
        <v>56</v>
      </c>
      <c r="G43" s="4">
        <f t="shared" si="2"/>
        <v>48</v>
      </c>
      <c r="H43" s="4">
        <f t="shared" si="2"/>
        <v>54</v>
      </c>
      <c r="I43" s="4">
        <f t="shared" si="2"/>
        <v>53</v>
      </c>
    </row>
    <row r="44" spans="1:18" ht="13" customHeight="1">
      <c r="A44" s="10" t="s">
        <v>13</v>
      </c>
      <c r="B44" s="4">
        <f>B23+B38</f>
        <v>0</v>
      </c>
      <c r="C44" s="4">
        <f t="shared" ref="C44:I44" si="3">C23+C38</f>
        <v>0</v>
      </c>
      <c r="D44" s="4">
        <f t="shared" si="3"/>
        <v>0</v>
      </c>
      <c r="E44" s="4">
        <f t="shared" si="3"/>
        <v>0</v>
      </c>
      <c r="F44" s="4">
        <f t="shared" si="3"/>
        <v>0</v>
      </c>
      <c r="G44" s="4">
        <f t="shared" si="3"/>
        <v>87</v>
      </c>
      <c r="H44" s="4">
        <f t="shared" si="3"/>
        <v>142</v>
      </c>
      <c r="I44" s="4">
        <f t="shared" si="3"/>
        <v>173</v>
      </c>
    </row>
    <row r="45" spans="1:18" ht="13" customHeight="1">
      <c r="A45" s="10"/>
      <c r="H45" s="9"/>
      <c r="I45" s="9"/>
    </row>
    <row r="46" spans="1:18" ht="13" customHeight="1">
      <c r="A46" s="10"/>
      <c r="H46" s="9"/>
      <c r="I46" s="9"/>
    </row>
    <row r="47" spans="1:18" ht="13" customHeight="1">
      <c r="A47" s="1" t="s">
        <v>18</v>
      </c>
      <c r="H47" s="9"/>
      <c r="I47" s="9"/>
    </row>
    <row r="48" spans="1:18" ht="13" customHeight="1">
      <c r="A48" s="3" t="s">
        <v>19</v>
      </c>
      <c r="B48" s="4">
        <f t="shared" ref="B48:I48" si="4">SUM(B4:B5)+SUM(B11:B13)+SUM(B18:B23)+SUM(B29:B33)+SUM(B36:B38)</f>
        <v>1164</v>
      </c>
      <c r="C48" s="4">
        <f t="shared" si="4"/>
        <v>1082</v>
      </c>
      <c r="D48" s="4">
        <f t="shared" si="4"/>
        <v>1121</v>
      </c>
      <c r="E48" s="4">
        <f t="shared" si="4"/>
        <v>1201</v>
      </c>
      <c r="F48" s="4">
        <f t="shared" si="4"/>
        <v>1287</v>
      </c>
      <c r="G48" s="4">
        <f t="shared" si="4"/>
        <v>1385</v>
      </c>
      <c r="H48" s="11">
        <f t="shared" si="4"/>
        <v>1639</v>
      </c>
      <c r="I48" s="11">
        <f t="shared" si="4"/>
        <v>1805</v>
      </c>
    </row>
    <row r="49" spans="1:9" ht="13" customHeight="1">
      <c r="A49" s="3" t="s">
        <v>20</v>
      </c>
      <c r="B49" s="4">
        <f>SUM(B6:B7)+SUM(B14:B15)+SUM(B24:B26)</f>
        <v>1054</v>
      </c>
      <c r="C49" s="4">
        <f>SUM(C6:C7)+SUM(C14:C15)+SUM(C24:C26)</f>
        <v>1065</v>
      </c>
      <c r="D49" s="4">
        <f>SUM(D6:D7)+SUM(D14:D15)+SUM(D24:D26)</f>
        <v>1090</v>
      </c>
      <c r="E49" s="4">
        <f>SUM(E6:E7)+SUM(E14:E15)+SUM(E24:E26)</f>
        <v>1211</v>
      </c>
      <c r="F49" s="4">
        <f>SUM(F6:F7)+SUM(F14:F15)+SUM(F24:F26)</f>
        <v>1182</v>
      </c>
      <c r="G49" s="4">
        <f>SUM(G6:G7)+SUM(G14:G15)+SUM(G24:G26)</f>
        <v>1158</v>
      </c>
      <c r="H49" s="11">
        <f>SUM(H6:H7)+SUM(H14:H15)+SUM(H24:H26)</f>
        <v>1280</v>
      </c>
      <c r="I49" s="11">
        <f>SUM(I6:I7)+SUM(I14:I15)+SUM(I24:I26)</f>
        <v>1312</v>
      </c>
    </row>
    <row r="50" spans="1:9" ht="13" customHeight="1">
      <c r="A50" s="3" t="s">
        <v>21</v>
      </c>
      <c r="B50" s="4">
        <f t="shared" ref="B50:I50" si="5">B8</f>
        <v>61</v>
      </c>
      <c r="C50" s="4">
        <f t="shared" si="5"/>
        <v>48</v>
      </c>
      <c r="D50" s="4">
        <f t="shared" si="5"/>
        <v>42</v>
      </c>
      <c r="E50" s="4">
        <f t="shared" si="5"/>
        <v>21</v>
      </c>
      <c r="F50" s="4">
        <f t="shared" si="5"/>
        <v>29</v>
      </c>
      <c r="G50" s="4">
        <f t="shared" si="5"/>
        <v>23</v>
      </c>
      <c r="H50" s="11">
        <f t="shared" si="5"/>
        <v>29</v>
      </c>
      <c r="I50" s="11">
        <f t="shared" si="5"/>
        <v>40</v>
      </c>
    </row>
    <row r="51" spans="1:9" ht="13" customHeight="1">
      <c r="H51" s="9"/>
      <c r="I51" s="9"/>
    </row>
    <row r="52" spans="1:9" s="5" customFormat="1" ht="13" customHeight="1">
      <c r="A52" s="1" t="s">
        <v>22</v>
      </c>
      <c r="B52" s="2"/>
      <c r="C52" s="2"/>
      <c r="D52" s="2"/>
      <c r="E52" s="2"/>
      <c r="F52" s="2"/>
      <c r="G52" s="2"/>
      <c r="H52" s="7"/>
      <c r="I52" s="7"/>
    </row>
    <row r="53" spans="1:9" ht="13" customHeight="1">
      <c r="A53" s="3" t="s">
        <v>23</v>
      </c>
      <c r="B53" s="4">
        <f t="shared" ref="B53:I53" si="6">SUM(B4:B38)</f>
        <v>2279</v>
      </c>
      <c r="C53" s="4">
        <f t="shared" si="6"/>
        <v>2195</v>
      </c>
      <c r="D53" s="4">
        <f t="shared" si="6"/>
        <v>2253</v>
      </c>
      <c r="E53" s="4">
        <f t="shared" si="6"/>
        <v>2433</v>
      </c>
      <c r="F53" s="4">
        <f t="shared" si="6"/>
        <v>2498</v>
      </c>
      <c r="G53" s="4">
        <f t="shared" si="6"/>
        <v>2566</v>
      </c>
      <c r="H53" s="11">
        <f t="shared" si="6"/>
        <v>2948</v>
      </c>
      <c r="I53" s="11">
        <f t="shared" si="6"/>
        <v>3157</v>
      </c>
    </row>
    <row r="54" spans="1:9" ht="13" customHeight="1">
      <c r="H54" s="9"/>
      <c r="I54" s="9"/>
    </row>
    <row r="55" spans="1:9" ht="13" customHeight="1">
      <c r="A55" s="1" t="s">
        <v>24</v>
      </c>
      <c r="H55" s="9"/>
      <c r="I55" s="9"/>
    </row>
    <row r="56" spans="1:9" ht="13" customHeight="1">
      <c r="A56" s="3" t="s">
        <v>23</v>
      </c>
      <c r="B56" s="4">
        <f t="shared" ref="B56:I56" si="7">B53-(SUM(B21:B22)+SUM(B29:B33)+SUM(B36:B37))</f>
        <v>2200</v>
      </c>
      <c r="C56" s="4">
        <f t="shared" si="7"/>
        <v>2109</v>
      </c>
      <c r="D56" s="4">
        <f t="shared" si="7"/>
        <v>2133</v>
      </c>
      <c r="E56" s="4">
        <f t="shared" si="7"/>
        <v>2271</v>
      </c>
      <c r="F56" s="4">
        <f t="shared" si="7"/>
        <v>2325</v>
      </c>
      <c r="G56" s="4">
        <f t="shared" si="7"/>
        <v>2382</v>
      </c>
      <c r="H56" s="11">
        <f t="shared" si="7"/>
        <v>2786</v>
      </c>
      <c r="I56" s="11">
        <f t="shared" si="7"/>
        <v>2966</v>
      </c>
    </row>
    <row r="58" spans="1:9">
      <c r="A58" s="1" t="s">
        <v>27</v>
      </c>
    </row>
    <row r="59" spans="1:9">
      <c r="A59" s="10" t="s">
        <v>2</v>
      </c>
      <c r="B59" s="11">
        <v>21</v>
      </c>
      <c r="C59" s="11">
        <v>20</v>
      </c>
      <c r="D59" s="11">
        <v>20</v>
      </c>
      <c r="E59" s="11">
        <v>20</v>
      </c>
      <c r="F59" s="11">
        <v>19</v>
      </c>
      <c r="G59" s="11">
        <v>18</v>
      </c>
      <c r="H59" s="9">
        <v>19</v>
      </c>
      <c r="I59" s="9">
        <v>18</v>
      </c>
    </row>
    <row r="60" spans="1:9">
      <c r="A60" s="10" t="s">
        <v>3</v>
      </c>
      <c r="B60" s="11"/>
      <c r="C60" s="11"/>
      <c r="D60" s="11"/>
      <c r="E60" s="11"/>
      <c r="F60" s="11"/>
      <c r="G60" s="11"/>
      <c r="H60" s="9"/>
      <c r="I60" s="9"/>
    </row>
    <row r="61" spans="1:9">
      <c r="A61" s="10" t="s">
        <v>29</v>
      </c>
      <c r="B61" s="11"/>
      <c r="C61" s="11"/>
      <c r="D61" s="11"/>
      <c r="E61" s="11"/>
      <c r="F61" s="11"/>
      <c r="G61" s="11"/>
      <c r="H61" s="9"/>
      <c r="I61" s="9"/>
    </row>
    <row r="62" spans="1:9">
      <c r="A62" s="10"/>
      <c r="B62" s="11"/>
      <c r="C62" s="11"/>
      <c r="D62" s="11"/>
      <c r="E62" s="11"/>
      <c r="F62" s="11"/>
      <c r="G62" s="11"/>
      <c r="H62" s="9"/>
      <c r="I62" s="9"/>
    </row>
    <row r="64" spans="1:9">
      <c r="A64" s="10" t="s">
        <v>28</v>
      </c>
    </row>
    <row r="65" spans="1:9">
      <c r="A65" s="10" t="s">
        <v>2</v>
      </c>
      <c r="B65" s="4">
        <f>B41/B59</f>
        <v>35.38095238095238</v>
      </c>
      <c r="C65" s="4">
        <f t="shared" ref="C65:I65" si="8">C41/C59</f>
        <v>34.049999999999997</v>
      </c>
      <c r="D65" s="4">
        <f t="shared" si="8"/>
        <v>34.700000000000003</v>
      </c>
      <c r="E65" s="4">
        <f t="shared" si="8"/>
        <v>39.6</v>
      </c>
      <c r="F65" s="4">
        <f t="shared" si="8"/>
        <v>44.631578947368418</v>
      </c>
      <c r="G65" s="4">
        <f t="shared" si="8"/>
        <v>48.5</v>
      </c>
      <c r="H65" s="4">
        <f t="shared" si="8"/>
        <v>52.10526315789474</v>
      </c>
      <c r="I65" s="4">
        <f t="shared" si="8"/>
        <v>59.055555555555557</v>
      </c>
    </row>
  </sheetData>
  <printOptions horizontalCentered="1" verticalCentered="1"/>
  <pageMargins left="0.75" right="0.75" top="1" bottom="1" header="0.5" footer="0.5"/>
  <pageSetup orientation="portrait" horizontalDpi="4294967292" verticalDpi="4294967292"/>
  <headerFooter>
    <oddHeader>&amp;Cenrollment in computing related programs based on OIR Fall 2011 data</oddHeader>
  </headerFooter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enrol.txt</vt:lpstr>
    </vt:vector>
  </TitlesOfParts>
  <Company>UMBC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finin</dc:creator>
  <cp:lastModifiedBy>tim finin</cp:lastModifiedBy>
  <cp:lastPrinted>2011-10-19T19:54:52Z</cp:lastPrinted>
  <dcterms:created xsi:type="dcterms:W3CDTF">2011-09-08T17:15:26Z</dcterms:created>
  <dcterms:modified xsi:type="dcterms:W3CDTF">2014-05-29T22:16:16Z</dcterms:modified>
</cp:coreProperties>
</file>